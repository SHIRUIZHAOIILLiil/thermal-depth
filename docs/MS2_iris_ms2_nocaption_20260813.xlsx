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无caption臂" sheetId="1" state="visible" r:id="rId1"/>
    <sheet xmlns:r="http://schemas.openxmlformats.org/officeDocument/2006/relationships" name="完整2x2" sheetId="2" state="visible" r:id="rId2"/>
    <sheet xmlns:r="http://schemas.openxmlformats.org/officeDocument/2006/relationships" name="val选点曲线" sheetId="3" state="visible" r:id="rId3"/>
    <sheet xmlns:r="http://schemas.openxmlformats.org/officeDocument/2006/relationships" name="逐帧配对汇总" sheetId="4" state="visible" r:id="rId4"/>
    <sheet xmlns:r="http://schemas.openxmlformats.org/officeDocument/2006/relationships" name="口径与来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"/>
    <numFmt numFmtId="165" formatCode="0.000"/>
    <numFmt numFmtId="166" formatCode="0.0000"/>
    <numFmt numFmtId="167" formatCode="+0.00000;-0.00000;0.00000"/>
    <numFmt numFmtId="168" formatCode="+0.000;-0.000;0.000"/>
    <numFmt numFmtId="169" formatCode="0.0%"/>
    <numFmt numFmtId="170" formatCode="0.0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center" vertical="center"/>
    </xf>
    <xf numFmtId="165" fontId="4" fillId="3" borderId="1" applyAlignment="1" pivotButton="0" quotePrefix="0" xfId="0">
      <alignment horizontal="center" vertical="center"/>
    </xf>
    <xf numFmtId="166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67" fontId="5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167" fontId="4" fillId="3" borderId="1" applyAlignment="1" pivotButton="0" quotePrefix="0" xfId="0">
      <alignment horizontal="center" vertical="center"/>
    </xf>
    <xf numFmtId="170" fontId="4" fillId="0" borderId="1" applyAlignment="1" pivotButton="0" quotePrefix="0" xfId="0">
      <alignment horizontal="left" vertical="center"/>
    </xf>
    <xf numFmtId="170" fontId="4" fillId="3" borderId="1" applyAlignment="1" pivotButton="0" quotePrefix="0" xfId="0">
      <alignment horizontal="left" vertical="center"/>
    </xf>
    <xf numFmtId="0" fontId="4" fillId="0" borderId="1" pivotButton="0" quotePrefix="0" xfId="0"/>
    <xf numFmtId="0" fontId="5" fillId="3" borderId="1" pivotButton="0" quotePrefix="0" xfId="0"/>
    <xf numFmtId="0" fontId="2" fillId="0" borderId="0" pivotButton="0" quotePrefix="0" xfId="0"/>
    <xf numFmtId="169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2" customWidth="1" min="6" max="6"/>
    <col width="14" customWidth="1" min="7" max="7"/>
  </cols>
  <sheetData>
    <row r="1">
      <c r="A1" s="1" t="inlineStr">
        <is>
          <t>iris_ms2 无 caption 训练臂 — test 结果</t>
        </is>
      </c>
    </row>
    <row r="2">
      <c r="A2" s="2" t="inlineStr">
        <is>
          <t>输入模态 thermal；训练目标 = 完整伪 GT（本帧 LiDAR 写回 AnyThermal 标定伪深度）；目标函数 = Iris/Lotus-G 的 latent MSE + 输入图像重建分支；训练时每帧喂空串。</t>
        </is>
      </c>
    </row>
    <row r="4">
      <c r="A4" s="3" t="inlineStr">
        <is>
          <t>推理 prompt</t>
        </is>
      </c>
      <c r="B4" s="3" t="inlineStr">
        <is>
          <t>Iris Table 1 术语</t>
        </is>
      </c>
      <c r="C4" s="3" t="inlineStr">
        <is>
          <t>AbsRel ↓</t>
        </is>
      </c>
      <c r="D4" s="3" t="inlineStr">
        <is>
          <t>RMSE ↓</t>
        </is>
      </c>
      <c r="E4" s="3" t="inlineStr">
        <is>
          <t>δ1 ↑</t>
        </is>
      </c>
    </row>
    <row r="5">
      <c r="A5" s="4" t="inlineStr">
        <is>
          <t>空 prompt</t>
        </is>
      </c>
      <c r="B5" s="4" t="inlineStr">
        <is>
          <t>Baseline</t>
        </is>
      </c>
      <c r="C5" s="5" t="n">
        <v>0.08551</v>
      </c>
      <c r="D5" s="6" t="n">
        <v>3.637</v>
      </c>
      <c r="E5" s="7" t="n">
        <v>0.9227</v>
      </c>
    </row>
    <row r="6">
      <c r="A6" s="8" t="inlineStr">
        <is>
          <t>真 caption</t>
        </is>
      </c>
      <c r="B6" s="8" t="inlineStr">
        <is>
          <t>Infer Only</t>
        </is>
      </c>
      <c r="C6" s="9" t="n">
        <v>0.08764</v>
      </c>
      <c r="D6" s="10" t="n">
        <v>3.525</v>
      </c>
      <c r="E6" s="11" t="n">
        <v>0.919</v>
      </c>
    </row>
    <row r="7">
      <c r="A7" s="12" t="inlineStr">
        <is>
          <t>差（真 caption − 空 prompt）</t>
        </is>
      </c>
      <c r="B7" s="12" t="inlineStr"/>
      <c r="C7" s="13">
        <f>C6-C5</f>
        <v/>
      </c>
      <c r="D7" s="14">
        <f>D6-D5</f>
        <v/>
      </c>
      <c r="E7" s="13">
        <f>E6-E5</f>
        <v/>
      </c>
    </row>
    <row r="9">
      <c r="A9" s="2" t="inlineStr">
        <is>
          <t>这一臂从未见过文本，所以「真 caption」对它是分布外输入 —— 这正是 Iris Table 1 「Infer Only」那一行的含义。checkpoint 按 val 选（step 2000），选点用空 prompt，与它训练时的输入模式一致。</t>
        </is>
      </c>
    </row>
    <row r="11">
      <c r="A11" s="1" t="inlineStr">
        <is>
          <t>臂内逐帧配对：真 caption − 空 prompt</t>
        </is>
      </c>
    </row>
    <row r="12">
      <c r="A12" s="3" t="inlineStr">
        <is>
          <t>指标</t>
        </is>
      </c>
      <c r="B12" s="3" t="inlineStr">
        <is>
          <t>方向</t>
        </is>
      </c>
      <c r="C12" s="3" t="inlineStr">
        <is>
          <t>均值差</t>
        </is>
      </c>
      <c r="D12" s="3" t="inlineStr">
        <is>
          <t>95% CI 下限</t>
        </is>
      </c>
      <c r="E12" s="3" t="inlineStr">
        <is>
          <t>95% CI 上限</t>
        </is>
      </c>
      <c r="F12" s="3" t="inlineStr">
        <is>
          <t>胜率</t>
        </is>
      </c>
      <c r="G12" s="3" t="inlineStr">
        <is>
          <t>CI 是否含零</t>
        </is>
      </c>
    </row>
    <row r="13">
      <c r="A13" s="8" t="inlineStr">
        <is>
          <t>AbsRel</t>
        </is>
      </c>
      <c r="B13" s="8" t="inlineStr">
        <is>
          <t>越低越好</t>
        </is>
      </c>
      <c r="C13" s="15" t="n">
        <v>0.00213</v>
      </c>
      <c r="D13" s="15" t="n">
        <v>0.00182</v>
      </c>
      <c r="E13" s="15" t="n">
        <v>0.00244</v>
      </c>
      <c r="F13" s="16" t="n">
        <v>0.409</v>
      </c>
      <c r="G13" s="17" t="inlineStr">
        <is>
          <t>否（显著）</t>
        </is>
      </c>
    </row>
    <row r="14">
      <c r="A14" s="8" t="inlineStr">
        <is>
          <t>RMSE</t>
        </is>
      </c>
      <c r="B14" s="8" t="inlineStr">
        <is>
          <t>越低越好</t>
        </is>
      </c>
      <c r="C14" s="15" t="n">
        <v>-0.11226</v>
      </c>
      <c r="D14" s="15" t="n">
        <v>-0.13688</v>
      </c>
      <c r="E14" s="15" t="n">
        <v>-0.08795</v>
      </c>
      <c r="F14" s="16" t="n">
        <v>0.526</v>
      </c>
      <c r="G14" s="17" t="inlineStr">
        <is>
          <t>否（显著）</t>
        </is>
      </c>
    </row>
    <row r="15">
      <c r="A15" s="8" t="inlineStr">
        <is>
          <t>δ1</t>
        </is>
      </c>
      <c r="B15" s="8" t="inlineStr">
        <is>
          <t>越高越好</t>
        </is>
      </c>
      <c r="C15" s="15" t="n">
        <v>-0.00377</v>
      </c>
      <c r="D15" s="15" t="n">
        <v>-0.00454</v>
      </c>
      <c r="E15" s="15" t="n">
        <v>-0.00301</v>
      </c>
      <c r="F15" s="16" t="n">
        <v>0.429</v>
      </c>
      <c r="G15" s="17" t="inlineStr">
        <is>
          <t>否（显著）</t>
        </is>
      </c>
    </row>
    <row r="17">
      <c r="A17" s="2" t="inlineStr">
        <is>
          <t>2,543 帧逐帧配对，10,000 次 bootstrap。三项都显著，但方向不一致：AbsRel 与 δ1 变差，RMSE 反而变好（3.637 → 3.525）。给没训过文本的模型塞文本会把远端往外推 —— RMSE 对远端大误差敏感故变好，AbsRel 偏近端故变差。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22" customWidth="1" min="7" max="7"/>
  </cols>
  <sheetData>
    <row r="1">
      <c r="A1" s="1" t="inlineStr">
        <is>
          <t>完整 2×2 — 与 Iris Table 1 同结构</t>
        </is>
      </c>
    </row>
    <row r="2">
      <c r="A2" s="2" t="inlineStr">
        <is>
          <t>同一条线路（完整伪 GT + Iris 训练方式）的四格。左列两行是两次独立训练，每行两列是同一份权重换推理 prompt。</t>
        </is>
      </c>
    </row>
    <row r="4">
      <c r="A4" s="3" t="inlineStr">
        <is>
          <t>训练时给文本</t>
        </is>
      </c>
      <c r="B4" s="3" t="inlineStr">
        <is>
          <t>推理时给文本</t>
        </is>
      </c>
      <c r="C4" s="3" t="inlineStr">
        <is>
          <t>Iris Table 1 术语</t>
        </is>
      </c>
      <c r="D4" s="3" t="inlineStr">
        <is>
          <t>AbsRel ↓</t>
        </is>
      </c>
      <c r="E4" s="3" t="inlineStr">
        <is>
          <t>RMSE ↓</t>
        </is>
      </c>
      <c r="F4" s="3" t="inlineStr">
        <is>
          <t>δ1 ↑</t>
        </is>
      </c>
      <c r="G4" s="3" t="inlineStr">
        <is>
          <t>AbsRel 相对 Baseline</t>
        </is>
      </c>
    </row>
    <row r="5">
      <c r="A5" s="4" t="inlineStr">
        <is>
          <t>否</t>
        </is>
      </c>
      <c r="B5" s="4" t="inlineStr">
        <is>
          <t>否</t>
        </is>
      </c>
      <c r="C5" s="18" t="inlineStr">
        <is>
          <t>Baseline</t>
        </is>
      </c>
      <c r="D5" s="5" t="n">
        <v>0.08551</v>
      </c>
      <c r="E5" s="6" t="n">
        <v>3.637</v>
      </c>
      <c r="F5" s="7" t="n">
        <v>0.9227</v>
      </c>
      <c r="G5" s="19">
        <f>D5-$D$5</f>
        <v/>
      </c>
    </row>
    <row r="6">
      <c r="A6" s="8" t="inlineStr">
        <is>
          <t>是</t>
        </is>
      </c>
      <c r="B6" s="8" t="inlineStr">
        <is>
          <t>否</t>
        </is>
      </c>
      <c r="C6" s="17" t="inlineStr">
        <is>
          <t>Train Only</t>
        </is>
      </c>
      <c r="D6" s="9" t="n">
        <v>0.08752</v>
      </c>
      <c r="E6" s="10" t="n">
        <v>3.761</v>
      </c>
      <c r="F6" s="11" t="n">
        <v>0.9187</v>
      </c>
      <c r="G6" s="15">
        <f>D6-$D$5</f>
        <v/>
      </c>
    </row>
    <row r="7">
      <c r="A7" s="8" t="inlineStr">
        <is>
          <t>否</t>
        </is>
      </c>
      <c r="B7" s="8" t="inlineStr">
        <is>
          <t>是</t>
        </is>
      </c>
      <c r="C7" s="17" t="inlineStr">
        <is>
          <t>Infer Only</t>
        </is>
      </c>
      <c r="D7" s="9" t="n">
        <v>0.08764</v>
      </c>
      <c r="E7" s="10" t="n">
        <v>3.525</v>
      </c>
      <c r="F7" s="11" t="n">
        <v>0.919</v>
      </c>
      <c r="G7" s="15">
        <f>D7-$D$5</f>
        <v/>
      </c>
    </row>
    <row r="8">
      <c r="A8" s="4" t="inlineStr">
        <is>
          <t>是</t>
        </is>
      </c>
      <c r="B8" s="4" t="inlineStr">
        <is>
          <t>是</t>
        </is>
      </c>
      <c r="C8" s="18" t="inlineStr">
        <is>
          <t>Train &amp; Infer</t>
        </is>
      </c>
      <c r="D8" s="5" t="n">
        <v>0.0853</v>
      </c>
      <c r="E8" s="6" t="n">
        <v>3.613</v>
      </c>
      <c r="F8" s="7" t="n">
        <v>0.9231</v>
      </c>
      <c r="G8" s="19">
        <f>D8-$D$5</f>
        <v/>
      </c>
    </row>
    <row r="10">
      <c r="A10" s="2" t="inlineStr">
        <is>
          <t>读法：两个「错配」格（Train Only +0.00200、Infer Only +0.00213）几乎一样差，相差 6%；两个「匹配」格（Baseline、Train &amp; Infer）几乎一样好。→ 与文本内容无关，与「训练条件和推理条件是否一致」有关，错配代价双向对称。</t>
        </is>
      </c>
    </row>
    <row r="12">
      <c r="A12" s="1" t="inlineStr">
        <is>
          <t>同卷对照（全部空 prompt）</t>
        </is>
      </c>
    </row>
    <row r="13">
      <c r="A13" s="3" t="inlineStr">
        <is>
          <t>线路</t>
        </is>
      </c>
      <c r="B13" s="3" t="inlineStr">
        <is>
          <t>训练目标</t>
        </is>
      </c>
      <c r="C13" s="3" t="inlineStr">
        <is>
          <t>caption 训练</t>
        </is>
      </c>
      <c r="D13" s="3" t="inlineStr">
        <is>
          <t>AbsRel ↓</t>
        </is>
      </c>
      <c r="E13" s="3" t="inlineStr">
        <is>
          <t>RMSE ↓</t>
        </is>
      </c>
      <c r="F13" s="3" t="inlineStr">
        <is>
          <t>δ1 ↑</t>
        </is>
      </c>
    </row>
    <row r="14">
      <c r="A14" s="8" t="inlineStr">
        <is>
          <t>b 线（最朴素基线）</t>
        </is>
      </c>
      <c r="B14" s="8" t="inlineStr">
        <is>
          <t>稀疏 LiDAR</t>
        </is>
      </c>
      <c r="C14" s="17" t="inlineStr">
        <is>
          <t>否</t>
        </is>
      </c>
      <c r="D14" s="9" t="n">
        <v>0.08842999999999999</v>
      </c>
      <c r="E14" s="10" t="n">
        <v>3.956</v>
      </c>
      <c r="F14" s="11" t="n">
        <v>0.9071</v>
      </c>
    </row>
    <row r="15">
      <c r="A15" s="8" t="inlineStr">
        <is>
          <t>b + 天空损失（此前最好）</t>
        </is>
      </c>
      <c r="B15" s="8" t="inlineStr">
        <is>
          <t>稀疏 LiDAR + 天空项</t>
        </is>
      </c>
      <c r="C15" s="17" t="inlineStr">
        <is>
          <t>否</t>
        </is>
      </c>
      <c r="D15" s="9" t="n">
        <v>0.08487</v>
      </c>
      <c r="E15" s="10" t="n">
        <v>3.816</v>
      </c>
      <c r="F15" s="11" t="n">
        <v>0.9142</v>
      </c>
    </row>
    <row r="16">
      <c r="A16" s="8" t="inlineStr">
        <is>
          <t>b_latent（手工逼近 Iris）</t>
        </is>
      </c>
      <c r="B16" s="8" t="inlineStr">
        <is>
          <t>完整伪 GT</t>
        </is>
      </c>
      <c r="C16" s="17" t="inlineStr">
        <is>
          <t>否</t>
        </is>
      </c>
      <c r="D16" s="9" t="n">
        <v>0.09542</v>
      </c>
      <c r="E16" s="10" t="n">
        <v>3.897</v>
      </c>
      <c r="F16" s="11" t="n">
        <v>0.9034</v>
      </c>
    </row>
    <row r="17">
      <c r="A17" s="4" t="inlineStr">
        <is>
          <t>iris_ms2 无 caption</t>
        </is>
      </c>
      <c r="B17" s="4" t="inlineStr">
        <is>
          <t>完整伪 GT</t>
        </is>
      </c>
      <c r="C17" s="18" t="inlineStr">
        <is>
          <t>否</t>
        </is>
      </c>
      <c r="D17" s="5" t="n">
        <v>0.08551</v>
      </c>
      <c r="E17" s="6" t="n">
        <v>3.637</v>
      </c>
      <c r="F17" s="7" t="n">
        <v>0.9227</v>
      </c>
    </row>
    <row r="18">
      <c r="A18" s="8" t="inlineStr">
        <is>
          <t>iris_ms2 有 caption</t>
        </is>
      </c>
      <c r="B18" s="8" t="inlineStr">
        <is>
          <t>完整伪 GT</t>
        </is>
      </c>
      <c r="C18" s="17" t="inlineStr">
        <is>
          <t>是</t>
        </is>
      </c>
      <c r="D18" s="9" t="n">
        <v>0.08752</v>
      </c>
      <c r="E18" s="10" t="n">
        <v>3.761</v>
      </c>
      <c r="F18" s="11" t="n">
        <v>0.9187</v>
      </c>
    </row>
    <row r="20">
      <c r="A20" s="2" t="inlineStr">
        <is>
          <t>AbsRel 上无 caption 臂排第二（差冠军 0.7%），但 RMSE 与 δ1 是全项目第一（3.637 vs 3.816 = 4.7%；δ1 高 0.0085）。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3" customWidth="1" min="4" max="4"/>
    <col width="12" customWidth="1" min="5" max="5"/>
    <col width="14" customWidth="1" min="6" max="6"/>
    <col width="13" customWidth="1" min="7" max="7"/>
    <col width="12" customWidth="1" min="8" max="8"/>
  </cols>
  <sheetData>
    <row r="1">
      <c r="A1" s="1" t="inlineStr">
        <is>
          <t>val 选点 — 模型选择在 val 序列上做，未在 test 上挑过 checkpoint</t>
        </is>
      </c>
    </row>
    <row r="2">
      <c r="A2" s="2" t="inlineStr">
        <is>
          <t>val 序列 11-23-45，VAL_STRIDE=4（1,453 帧，与历史训练曲线同口径）。选点 prompt 与该臂训练时的输入模式一致：无 caption 臂用空 prompt，有 caption 臂用真 caption。两列因此不能直接比大小 —— 各自回答「本臂最优点在哪」。</t>
        </is>
      </c>
    </row>
    <row r="4">
      <c r="A4" s="3" t="inlineStr">
        <is>
          <t>优化步</t>
        </is>
      </c>
      <c r="B4" s="3" t="inlineStr">
        <is>
          <t>epoch</t>
        </is>
      </c>
      <c r="C4" s="3" t="inlineStr">
        <is>
          <t>无cap AbsRel</t>
        </is>
      </c>
      <c r="D4" s="3" t="inlineStr">
        <is>
          <t>无cap RMSE</t>
        </is>
      </c>
      <c r="E4" s="3" t="inlineStr">
        <is>
          <t>无cap δ1</t>
        </is>
      </c>
      <c r="F4" s="3" t="inlineStr">
        <is>
          <t>有cap AbsRel</t>
        </is>
      </c>
      <c r="G4" s="3" t="inlineStr">
        <is>
          <t>有cap RMSE</t>
        </is>
      </c>
      <c r="H4" s="3" t="inlineStr">
        <is>
          <t>有cap δ1</t>
        </is>
      </c>
    </row>
    <row r="5">
      <c r="A5" s="8" t="n">
        <v>1000</v>
      </c>
      <c r="B5" s="20">
        <f>A5/$B$13</f>
        <v/>
      </c>
      <c r="C5" s="9" t="n">
        <v>0.08404</v>
      </c>
      <c r="D5" s="10" t="n">
        <v>3.416</v>
      </c>
      <c r="E5" s="11" t="n">
        <v>0.9267</v>
      </c>
      <c r="F5" s="9" t="n">
        <v>0.08402</v>
      </c>
      <c r="G5" s="10" t="n">
        <v>3.461</v>
      </c>
      <c r="H5" s="11" t="n">
        <v>0.9255</v>
      </c>
    </row>
    <row r="6">
      <c r="A6" s="4" t="n">
        <v>2000</v>
      </c>
      <c r="B6" s="21">
        <f>A6/$B$13</f>
        <v/>
      </c>
      <c r="C6" s="5" t="n">
        <v>0.08116</v>
      </c>
      <c r="D6" s="6" t="n">
        <v>3.271</v>
      </c>
      <c r="E6" s="7" t="n">
        <v>0.9305</v>
      </c>
      <c r="F6" s="5" t="n">
        <v>0.08043</v>
      </c>
      <c r="G6" s="6" t="n">
        <v>3.219</v>
      </c>
      <c r="H6" s="7" t="n">
        <v>0.9316</v>
      </c>
    </row>
    <row r="7">
      <c r="A7" s="8" t="n">
        <v>3000</v>
      </c>
      <c r="B7" s="20">
        <f>A7/$B$13</f>
        <v/>
      </c>
      <c r="C7" s="9" t="n">
        <v>0.08369</v>
      </c>
      <c r="D7" s="10" t="n">
        <v>3.254</v>
      </c>
      <c r="E7" s="11" t="n">
        <v>0.9294</v>
      </c>
      <c r="F7" s="9" t="n">
        <v>0.08232</v>
      </c>
      <c r="G7" s="10" t="n">
        <v>3.248</v>
      </c>
      <c r="H7" s="11" t="n">
        <v>0.9307</v>
      </c>
    </row>
    <row r="8">
      <c r="A8" s="8" t="n">
        <v>5000</v>
      </c>
      <c r="B8" s="20">
        <f>A8/$B$13</f>
        <v/>
      </c>
      <c r="C8" s="9" t="n">
        <v>0.08198</v>
      </c>
      <c r="D8" s="10" t="n">
        <v>3.257</v>
      </c>
      <c r="E8" s="11" t="n">
        <v>0.9323</v>
      </c>
      <c r="F8" s="9" t="n">
        <v>0.08314000000000001</v>
      </c>
      <c r="G8" s="10" t="n">
        <v>3.262</v>
      </c>
      <c r="H8" s="11" t="n">
        <v>0.9308</v>
      </c>
    </row>
    <row r="9">
      <c r="A9" s="8" t="n">
        <v>8000</v>
      </c>
      <c r="B9" s="20">
        <f>A9/$B$13</f>
        <v/>
      </c>
      <c r="C9" s="9" t="n">
        <v>0.08422</v>
      </c>
      <c r="D9" s="10" t="n">
        <v>3.322</v>
      </c>
      <c r="E9" s="11" t="n">
        <v>0.9276</v>
      </c>
      <c r="F9" s="9" t="n">
        <v>0.08415</v>
      </c>
      <c r="G9" s="10" t="n">
        <v>3.312</v>
      </c>
      <c r="H9" s="11" t="n">
        <v>0.9266</v>
      </c>
    </row>
    <row r="10">
      <c r="A10" s="8" t="n">
        <v>17000</v>
      </c>
      <c r="B10" s="20">
        <f>A10/$B$13</f>
        <v/>
      </c>
      <c r="C10" s="9" t="n"/>
      <c r="D10" s="10" t="n"/>
      <c r="E10" s="11" t="n"/>
      <c r="F10" s="9" t="n">
        <v>0.08319</v>
      </c>
      <c r="G10" s="10" t="n">
        <v>3.284</v>
      </c>
      <c r="H10" s="11" t="n">
        <v>0.9274</v>
      </c>
    </row>
    <row r="11">
      <c r="A11" s="8" t="n">
        <v>20000</v>
      </c>
      <c r="B11" s="20">
        <f>A11/$B$13</f>
        <v/>
      </c>
      <c r="C11" s="9" t="n"/>
      <c r="D11" s="10" t="n"/>
      <c r="E11" s="11" t="n"/>
      <c r="F11" s="9" t="n">
        <v>0.08449</v>
      </c>
      <c r="G11" s="10" t="n">
        <v>3.289</v>
      </c>
      <c r="H11" s="11" t="n">
        <v>0.9267</v>
      </c>
    </row>
    <row r="13">
      <c r="A13" s="22" t="inlineStr">
        <is>
          <t>每 epoch 的优化步数（trainer 实际值）</t>
        </is>
      </c>
      <c r="B13" s="23" t="n">
        <v>1663</v>
      </c>
    </row>
    <row r="14">
      <c r="A14" s="24" t="inlineStr">
        <is>
          <t>取自 ceil(ceil(19949 帧 ÷ batch 4) ÷ 梯度累积 3)；两次向上取整，直接除得 1662.4</t>
        </is>
      </c>
    </row>
    <row r="16">
      <c r="A16" s="2" t="inlineStr">
        <is>
          <t>两条独立训练的臂最优点都落在 step 2000（epoch 1.2），说明该位置由学习率与数据决定，与文本无关。最佳点这么早不是数据量不够：同一份 19,949 帧上，b 线（lr 1e-6）到第 5 个 epoch 还在降；Iris 的 lr 3e-5 是它的 30 倍。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4" customWidth="1" min="3" max="3"/>
    <col width="14" customWidth="1" min="4" max="4"/>
    <col width="14" customWidth="1" min="5" max="5"/>
    <col width="10" customWidth="1" min="6" max="6"/>
    <col width="30" customWidth="1" min="7" max="7"/>
  </cols>
  <sheetData>
    <row r="1">
      <c r="A1" s="1" t="inlineStr">
        <is>
          <t>四组逐帧配对（test 2,543 帧，10,000 次 bootstrap）</t>
        </is>
      </c>
    </row>
    <row r="3">
      <c r="A3" s="3" t="inlineStr">
        <is>
          <t>比较</t>
        </is>
      </c>
      <c r="B3" s="3" t="inlineStr">
        <is>
          <t>指标</t>
        </is>
      </c>
      <c r="C3" s="3" t="inlineStr">
        <is>
          <t>均值差</t>
        </is>
      </c>
      <c r="D3" s="3" t="inlineStr">
        <is>
          <t>95% CI 下限</t>
        </is>
      </c>
      <c r="E3" s="3" t="inlineStr">
        <is>
          <t>95% CI 上限</t>
        </is>
      </c>
      <c r="F3" s="3" t="inlineStr">
        <is>
          <t>胜率</t>
        </is>
      </c>
      <c r="G3" s="3" t="inlineStr">
        <is>
          <t>结论</t>
        </is>
      </c>
    </row>
    <row r="4">
      <c r="A4" s="8" t="inlineStr">
        <is>
          <t>有cap臂：真caption − 空prompt</t>
        </is>
      </c>
      <c r="B4" s="8" t="inlineStr">
        <is>
          <t>AbsRel</t>
        </is>
      </c>
      <c r="C4" s="15" t="n">
        <v>-0.00221</v>
      </c>
      <c r="D4" s="15" t="n">
        <v>-0.00241</v>
      </c>
      <c r="E4" s="15" t="n">
        <v>-0.00202</v>
      </c>
      <c r="F4" s="16" t="n">
        <v>0.702</v>
      </c>
      <c r="G4" s="17" t="inlineStr">
        <is>
          <t>显著；七条 caption 线首个为负</t>
        </is>
      </c>
    </row>
    <row r="5">
      <c r="A5" s="8" t="inlineStr">
        <is>
          <t>有cap臂：真caption − 空prompt</t>
        </is>
      </c>
      <c r="B5" s="8" t="inlineStr">
        <is>
          <t>RMSE</t>
        </is>
      </c>
      <c r="C5" s="15" t="n">
        <v>-0.14807</v>
      </c>
      <c r="D5" s="15" t="n">
        <v>-0.16218</v>
      </c>
      <c r="E5" s="15" t="n">
        <v>-0.13404</v>
      </c>
      <c r="F5" s="16" t="n">
        <v>0.6889999999999999</v>
      </c>
      <c r="G5" s="17" t="inlineStr">
        <is>
          <t>显著</t>
        </is>
      </c>
    </row>
    <row r="6">
      <c r="A6" s="8" t="inlineStr">
        <is>
          <t>有cap臂：真caption − 空prompt</t>
        </is>
      </c>
      <c r="B6" s="8" t="inlineStr">
        <is>
          <t>δ1</t>
        </is>
      </c>
      <c r="C6" s="15" t="n">
        <v>0.0044</v>
      </c>
      <c r="D6" s="15" t="n">
        <v>0.0039</v>
      </c>
      <c r="E6" s="15" t="n">
        <v>0.00491</v>
      </c>
      <c r="F6" s="16" t="n">
        <v>0.66</v>
      </c>
      <c r="G6" s="17" t="inlineStr">
        <is>
          <t>显著</t>
        </is>
      </c>
    </row>
    <row r="7">
      <c r="A7" s="4" t="inlineStr">
        <is>
          <t>有cap臂：错caption − 真caption</t>
        </is>
      </c>
      <c r="B7" s="4" t="inlineStr">
        <is>
          <t>AbsRel</t>
        </is>
      </c>
      <c r="C7" s="19" t="n">
        <v>0.00012</v>
      </c>
      <c r="D7" s="19" t="n">
        <v>1e-05</v>
      </c>
      <c r="E7" s="19" t="n">
        <v>0.00023</v>
      </c>
      <c r="F7" s="25" t="n">
        <v>0.486</v>
      </c>
      <c r="G7" s="18" t="inlineStr">
        <is>
          <t>内容只占 5%，胜率近掷硬币</t>
        </is>
      </c>
    </row>
    <row r="8">
      <c r="A8" s="4" t="inlineStr">
        <is>
          <t>有cap臂：错caption − 真caption</t>
        </is>
      </c>
      <c r="B8" s="4" t="inlineStr">
        <is>
          <t>RMSE</t>
        </is>
      </c>
      <c r="C8" s="19" t="n">
        <v>-0.00353</v>
      </c>
      <c r="D8" s="19" t="n">
        <v>-0.0115</v>
      </c>
      <c r="E8" s="19" t="n">
        <v>0.00444</v>
      </c>
      <c r="F8" s="25" t="n">
        <v>0.49</v>
      </c>
      <c r="G8" s="18" t="inlineStr">
        <is>
          <t>CI 含零，且方向相反</t>
        </is>
      </c>
    </row>
    <row r="9">
      <c r="A9" s="4" t="inlineStr">
        <is>
          <t>有cap臂：错caption − 真caption</t>
        </is>
      </c>
      <c r="B9" s="4" t="inlineStr">
        <is>
          <t>δ1</t>
        </is>
      </c>
      <c r="C9" s="19" t="n">
        <v>-0.00014</v>
      </c>
      <c r="D9" s="19" t="n">
        <v>-0.00042</v>
      </c>
      <c r="E9" s="19" t="n">
        <v>0.00014</v>
      </c>
      <c r="F9" s="25" t="n">
        <v>0.484</v>
      </c>
      <c r="G9" s="18" t="inlineStr">
        <is>
          <t>CI 含零</t>
        </is>
      </c>
    </row>
    <row r="10">
      <c r="A10" s="8" t="inlineStr">
        <is>
          <t>无cap臂：真caption − 空prompt</t>
        </is>
      </c>
      <c r="B10" s="8" t="inlineStr">
        <is>
          <t>AbsRel</t>
        </is>
      </c>
      <c r="C10" s="15" t="n">
        <v>0.00213</v>
      </c>
      <c r="D10" s="15" t="n">
        <v>0.00182</v>
      </c>
      <c r="E10" s="15" t="n">
        <v>0.00244</v>
      </c>
      <c r="F10" s="16" t="n">
        <v>0.409</v>
      </c>
      <c r="G10" s="17" t="inlineStr">
        <is>
          <t>显著变差（镜像成立）</t>
        </is>
      </c>
    </row>
    <row r="11">
      <c r="A11" s="8" t="inlineStr">
        <is>
          <t>无cap臂：真caption − 空prompt</t>
        </is>
      </c>
      <c r="B11" s="8" t="inlineStr">
        <is>
          <t>RMSE</t>
        </is>
      </c>
      <c r="C11" s="15" t="n">
        <v>-0.11226</v>
      </c>
      <c r="D11" s="15" t="n">
        <v>-0.13688</v>
      </c>
      <c r="E11" s="15" t="n">
        <v>-0.08795</v>
      </c>
      <c r="F11" s="16" t="n">
        <v>0.526</v>
      </c>
      <c r="G11" s="17" t="inlineStr">
        <is>
          <t>显著变好（方向不一致）</t>
        </is>
      </c>
    </row>
    <row r="12">
      <c r="A12" s="8" t="inlineStr">
        <is>
          <t>无cap臂：真caption − 空prompt</t>
        </is>
      </c>
      <c r="B12" s="8" t="inlineStr">
        <is>
          <t>δ1</t>
        </is>
      </c>
      <c r="C12" s="15" t="n">
        <v>-0.00377</v>
      </c>
      <c r="D12" s="15" t="n">
        <v>-0.00454</v>
      </c>
      <c r="E12" s="15" t="n">
        <v>-0.00301</v>
      </c>
      <c r="F12" s="16" t="n">
        <v>0.429</v>
      </c>
      <c r="G12" s="17" t="inlineStr">
        <is>
          <t>显著变差</t>
        </is>
      </c>
    </row>
    <row r="13">
      <c r="A13" s="4" t="inlineStr">
        <is>
          <t>Train &amp; Infer − Baseline</t>
        </is>
      </c>
      <c r="B13" s="4" t="inlineStr">
        <is>
          <t>AbsRel</t>
        </is>
      </c>
      <c r="C13" s="19" t="n">
        <v>-0.00021</v>
      </c>
      <c r="D13" s="19" t="n">
        <v>-0.00045</v>
      </c>
      <c r="E13" s="19" t="n">
        <v>3e-05</v>
      </c>
      <c r="F13" s="25" t="n">
        <v>0.525</v>
      </c>
      <c r="G13" s="18" t="inlineStr">
        <is>
          <t>CI 含零 → 净收益为零</t>
        </is>
      </c>
    </row>
    <row r="14">
      <c r="A14" s="4" t="inlineStr">
        <is>
          <t>Train &amp; Infer − Baseline</t>
        </is>
      </c>
      <c r="B14" s="4" t="inlineStr">
        <is>
          <t>RMSE</t>
        </is>
      </c>
      <c r="C14" s="19" t="n">
        <v>-0.0237</v>
      </c>
      <c r="D14" s="19" t="n">
        <v>-0.03786</v>
      </c>
      <c r="E14" s="19" t="n">
        <v>-0.00937</v>
      </c>
      <c r="F14" s="25" t="n">
        <v>0.545</v>
      </c>
      <c r="G14" s="18" t="inlineStr">
        <is>
          <t>显著但仅 0.65%</t>
        </is>
      </c>
    </row>
    <row r="15">
      <c r="A15" s="4" t="inlineStr">
        <is>
          <t>Train &amp; Infer − Baseline</t>
        </is>
      </c>
      <c r="B15" s="4" t="inlineStr">
        <is>
          <t>δ1</t>
        </is>
      </c>
      <c r="C15" s="19" t="n">
        <v>0.00033</v>
      </c>
      <c r="D15" s="19" t="n">
        <v>-0.00024</v>
      </c>
      <c r="E15" s="19" t="n">
        <v>0.0009</v>
      </c>
      <c r="F15" s="25" t="n">
        <v>0.53</v>
      </c>
      <c r="G15" s="18" t="inlineStr">
        <is>
          <t>CI 含零 → 净收益为零</t>
        </is>
      </c>
    </row>
    <row r="17">
      <c r="A17" s="2" t="inlineStr">
        <is>
          <t>「错caption」= shuffled，取另一帧的真 caption：文本分布与 token 统计相同，只有配对被打乱。它与真 caption 几乎无差，说明收益来自「有文本」而不是「文本说什么」。最后三行是整套 caption 机制相对完全不用文本的净效应。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8" customWidth="1" min="2" max="2"/>
  </cols>
  <sheetData>
    <row r="1">
      <c r="A1" s="1" t="inlineStr">
        <is>
          <t>口径</t>
        </is>
      </c>
    </row>
    <row r="3">
      <c r="A3" s="8" t="inlineStr">
        <is>
          <t>测试集</t>
        </is>
      </c>
      <c r="B3" s="26" t="inlineStr">
        <is>
          <t>2021-08-13-16-08-46，2,543 帧，白天，官方 train/val/test 划分之外，与训练序列零接触</t>
        </is>
      </c>
    </row>
    <row r="4">
      <c r="A4" s="8" t="inlineStr">
        <is>
          <t>评估协议</t>
        </is>
      </c>
      <c r="B4" s="26" t="inlineStr">
        <is>
          <t>官方 BridgeMultiSpectralDepth 协议，逐图最小二乘 scale+shift 对齐</t>
        </is>
      </c>
    </row>
    <row r="5">
      <c r="A5" s="8" t="inlineStr">
        <is>
          <t>对齐空间</t>
        </is>
      </c>
      <c r="B5" s="26" t="inlineStr">
        <is>
          <t>ssi_disparity（视差空间）。原版 AnyThermal 用 ssi（深度空间），两者不可换算</t>
        </is>
      </c>
    </row>
    <row r="6">
      <c r="A6" s="8" t="inlineStr">
        <is>
          <t>深度范围</t>
        </is>
      </c>
      <c r="B6" s="26" t="inlineStr">
        <is>
          <t>min_depth 1e-3 m / max_depth 80 m</t>
        </is>
      </c>
    </row>
    <row r="7">
      <c r="A7" s="8" t="inlineStr">
        <is>
          <t>GT 视角</t>
        </is>
      </c>
      <c r="B7" s="26" t="inlineStr">
        <is>
          <t>热像视角（thermal_depth_path）。不得与 RGB 视角 GT 直接比大小</t>
        </is>
      </c>
    </row>
    <row r="8">
      <c r="A8" s="8" t="inlineStr">
        <is>
          <t>条件 latent</t>
        </is>
      </c>
      <c r="B8" s="26" t="inlineStr">
        <is>
          <t>mode。已验证取 mode 或 sample 无差别（三项 CI 全跨零）</t>
        </is>
      </c>
    </row>
    <row r="9">
      <c r="A9" s="8" t="inlineStr">
        <is>
          <t>去噪步数</t>
        </is>
      </c>
      <c r="B9" s="26" t="inlineStr">
        <is>
          <t>1 步，t=999 —— 训练与推理同一设置，与 Lotus-G 上游一致</t>
        </is>
      </c>
    </row>
    <row r="10">
      <c r="A10" s="8" t="inlineStr">
        <is>
          <t>模型选择</t>
        </is>
      </c>
      <c r="B10" s="26" t="inlineStr">
        <is>
          <t>一律在 val 序列 11-23-45 上做，未在 test 上挑过 checkpoint</t>
        </is>
      </c>
    </row>
    <row r="11">
      <c r="A11" s="8" t="inlineStr">
        <is>
          <t>caption 来源</t>
        </is>
      </c>
      <c r="B11" s="26" t="inlineStr">
        <is>
          <t>InternVL3-8B，clip75 口径（token 36–75，无超限）</t>
        </is>
      </c>
    </row>
    <row r="12">
      <c r="A12" s="8" t="inlineStr">
        <is>
          <t>数字来源</t>
        </is>
      </c>
      <c r="B12" s="26" t="inlineStr">
        <is>
          <t>$SCRATCH/runs/eval/&lt;tag&gt;/eval_eval.json；配对统计来自 tools/compare_route_evals.py</t>
        </is>
      </c>
    </row>
    <row r="13">
      <c r="A13" s="8" t="inlineStr">
        <is>
          <t>完整记录</t>
        </is>
      </c>
      <c r="B13" s="26" t="inlineStr">
        <is>
          <t>docs/RESULTS_20260813_IRIS_MS2.md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2026-08-13T22:15:53Z</dcterms:created>
  <dcterms:modified xmlns:dcterms="http://purl.org/dc/terms/" xmlns:xsi="http://www.w3.org/2001/XMLSchema-instance" xsi:type="dcterms:W3CDTF">2026-08-13T22:15:53Z</dcterms:modified>
</cp:coreProperties>
</file>