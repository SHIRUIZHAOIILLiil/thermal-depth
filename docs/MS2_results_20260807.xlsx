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" sheetId="1" state="visible" r:id="rId1"/>
    <sheet xmlns:r="http://schemas.openxmlformats.org/officeDocument/2006/relationships" name="分层对比" sheetId="2" state="visible" r:id="rId2"/>
    <sheet xmlns:r="http://schemas.openxmlformats.org/officeDocument/2006/relationships" name="天空判据" sheetId="3" state="visible" r:id="rId3"/>
    <sheet xmlns:r="http://schemas.openxmlformats.org/officeDocument/2006/relationships" name="口径与注意事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%"/>
    <numFmt numFmtId="167" formatCode="0.00&quot;×&quot;"/>
    <numFmt numFmtId="168" formatCode="+0.00000;-0.000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0" borderId="0" pivotButton="0" quotePrefix="0" xfId="0"/>
    <xf numFmtId="166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left" vertical="center"/>
    </xf>
    <xf numFmtId="167" fontId="4" fillId="0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left" vertical="center"/>
    </xf>
    <xf numFmtId="168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分析</author>
  </authors>
  <commentList>
    <comment ref="D6" authorId="0" shapeId="0">
      <text>
        <t>推导值，非直接测量：= b 的 far (0.1680) + 实测配对差 (-0.00533)。作业 7037707 只输出了配对差，没单列 sky loss 的绝对分层值。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2" customWidth="1" min="4" max="4"/>
    <col width="12" customWidth="1" min="5" max="5"/>
    <col width="13" customWidth="1" min="6" max="6"/>
    <col width="10" customWidth="1" min="7" max="7"/>
    <col width="11" customWidth="1" min="8" max="8"/>
    <col width="12" customWidth="1" min="9" max="9"/>
    <col width="11" customWidth="1" min="10" max="10"/>
    <col width="10" customWidth="1" min="11" max="11"/>
    <col width="34" customWidth="1" min="12" max="12"/>
  </cols>
  <sheetData>
    <row r="1">
      <c r="A1" s="1" t="inlineStr">
        <is>
          <t>MS2 热像深度 · 全部模型对照（独立 test 集 16-08-46，2,543 帧，官方 BMSD 协议）</t>
        </is>
      </c>
    </row>
    <row r="2">
      <c r="A2" s="2" t="inlineStr">
        <is>
          <t>⚠️ 跨 GT 视角不可比大小（rgb 视角只与 rgb 视角比）；⚠️ 对齐空间不同的行不可直接比（各自的原生输出空间，换空间会差几倍）。黄色 = 本周新增。</t>
        </is>
      </c>
    </row>
    <row r="4" ht="32" customHeight="1">
      <c r="A4" s="3" t="inlineStr">
        <is>
          <t>模型 / 线</t>
        </is>
      </c>
      <c r="B4" s="3" t="inlineStr">
        <is>
          <t>输入</t>
        </is>
      </c>
      <c r="C4" s="3" t="inlineStr">
        <is>
          <t>训练了什么</t>
        </is>
      </c>
      <c r="D4" s="3" t="inlineStr">
        <is>
          <t>可训练参数(M)</t>
        </is>
      </c>
      <c r="E4" s="3" t="inlineStr">
        <is>
          <t>GT视角</t>
        </is>
      </c>
      <c r="F4" s="3" t="inlineStr">
        <is>
          <t>对齐空间</t>
        </is>
      </c>
      <c r="G4" s="3" t="inlineStr">
        <is>
          <t>best epoch</t>
        </is>
      </c>
      <c r="H4" s="3" t="inlineStr">
        <is>
          <t>val AbsRel</t>
        </is>
      </c>
      <c r="I4" s="3" t="inlineStr">
        <is>
          <t>test AbsRel</t>
        </is>
      </c>
      <c r="J4" s="3" t="inlineStr">
        <is>
          <t>test RMSE</t>
        </is>
      </c>
      <c r="K4" s="3" t="inlineStr">
        <is>
          <t>test δ1</t>
        </is>
      </c>
      <c r="L4" s="3" t="inlineStr">
        <is>
          <t>来源 / 备注</t>
        </is>
      </c>
    </row>
    <row r="5">
      <c r="A5" s="4" t="inlineStr">
        <is>
          <t>── RGB 输入（GT 视角 = rgb，只在本组内比较） ──</t>
        </is>
      </c>
    </row>
    <row r="6">
      <c r="A6" s="5" t="inlineStr">
        <is>
          <t>零训练直推 (RGB)</t>
        </is>
      </c>
      <c r="B6" s="5" t="inlineStr">
        <is>
          <t>RGB</t>
        </is>
      </c>
      <c r="C6" s="5" t="inlineStr">
        <is>
          <t>无 · 全程冻结</t>
        </is>
      </c>
      <c r="D6" s="6" t="n">
        <v>0</v>
      </c>
      <c r="E6" s="7" t="inlineStr">
        <is>
          <t>rgb</t>
        </is>
      </c>
      <c r="F6" s="7" t="inlineStr">
        <is>
          <t>ssi_disparity</t>
        </is>
      </c>
      <c r="G6" s="7" t="n"/>
      <c r="H6" s="7" t="n"/>
      <c r="I6" s="6" t="n">
        <v>0.1641</v>
      </c>
      <c r="J6" s="8" t="n">
        <v>6.588</v>
      </c>
      <c r="K6" s="6" t="n">
        <v>0.751</v>
      </c>
      <c r="L6" s="7" t="inlineStr">
        <is>
          <t>任务 1，本周新增（作业 7015060）</t>
        </is>
      </c>
    </row>
    <row r="7">
      <c r="A7" s="9" t="inlineStr">
        <is>
          <t>a 线 RGB+U-Net</t>
        </is>
      </c>
      <c r="B7" s="9" t="inlineStr">
        <is>
          <t>RGB</t>
        </is>
      </c>
      <c r="C7" s="9" t="inlineStr">
        <is>
          <t>U-Net</t>
        </is>
      </c>
      <c r="D7" s="10" t="n">
        <v>867.5700000000001</v>
      </c>
      <c r="E7" s="11" t="inlineStr">
        <is>
          <t>rgb</t>
        </is>
      </c>
      <c r="F7" s="11" t="inlineStr">
        <is>
          <t>ssi_disparity</t>
        </is>
      </c>
      <c r="G7" s="11" t="n">
        <v>14</v>
      </c>
      <c r="H7" s="12" t="n">
        <v>0.0791</v>
      </c>
      <c r="I7" s="12" t="n">
        <v>0.0844</v>
      </c>
      <c r="J7" s="10" t="n">
        <v>3.827</v>
      </c>
      <c r="K7" s="12" t="n">
        <v>0.9268999999999999</v>
      </c>
      <c r="L7" s="11" t="inlineStr">
        <is>
          <t>AIRE_RESULTS §2</t>
        </is>
      </c>
    </row>
    <row r="8">
      <c r="A8" s="4" t="inlineStr">
        <is>
          <t>── 热像输入（GT 视角 = thr） ──</t>
        </is>
      </c>
    </row>
    <row r="9">
      <c r="A9" s="5" t="inlineStr">
        <is>
          <t>零训练直推 (热像)</t>
        </is>
      </c>
      <c r="B9" s="5" t="inlineStr">
        <is>
          <t>Thermal</t>
        </is>
      </c>
      <c r="C9" s="5" t="inlineStr">
        <is>
          <t>无 · 全程冻结</t>
        </is>
      </c>
      <c r="D9" s="6" t="n">
        <v>0</v>
      </c>
      <c r="E9" s="7" t="inlineStr">
        <is>
          <t>thr</t>
        </is>
      </c>
      <c r="F9" s="7" t="inlineStr">
        <is>
          <t>ssi_disparity</t>
        </is>
      </c>
      <c r="G9" s="7" t="n"/>
      <c r="H9" s="7" t="n"/>
      <c r="I9" s="6" t="n">
        <v>0.1762</v>
      </c>
      <c r="J9" s="8" t="n">
        <v>6.331</v>
      </c>
      <c r="K9" s="6" t="n">
        <v>0.7012</v>
      </c>
      <c r="L9" s="7" t="inlineStr">
        <is>
          <t>任务 1，本周新增（作业 7015956）</t>
        </is>
      </c>
    </row>
    <row r="10">
      <c r="A10" s="9" t="inlineStr">
        <is>
          <t>b 线 Thermal+U-Net</t>
        </is>
      </c>
      <c r="B10" s="9" t="inlineStr">
        <is>
          <t>Thermal</t>
        </is>
      </c>
      <c r="C10" s="9" t="inlineStr">
        <is>
          <t>U-Net</t>
        </is>
      </c>
      <c r="D10" s="10" t="n">
        <v>867.5700000000001</v>
      </c>
      <c r="E10" s="11" t="inlineStr">
        <is>
          <t>thr</t>
        </is>
      </c>
      <c r="F10" s="11" t="inlineStr">
        <is>
          <t>ssi_disparity</t>
        </is>
      </c>
      <c r="G10" s="11" t="n">
        <v>5</v>
      </c>
      <c r="H10" s="12" t="n">
        <v>0.0775</v>
      </c>
      <c r="I10" s="12" t="n">
        <v>0.08840000000000001</v>
      </c>
      <c r="J10" s="10" t="n">
        <v>3.956</v>
      </c>
      <c r="K10" s="12" t="n">
        <v>0.9071</v>
      </c>
      <c r="L10" s="11" t="inlineStr">
        <is>
          <t>AIRE_RESULTS §2；不带 caption 最好</t>
        </is>
      </c>
    </row>
    <row r="11">
      <c r="A11" s="13" t="inlineStr">
        <is>
          <t>b + caption / 空 prompt</t>
        </is>
      </c>
      <c r="B11" s="13" t="inlineStr">
        <is>
          <t>Thermal</t>
        </is>
      </c>
      <c r="C11" s="13" t="inlineStr">
        <is>
          <t>U-Net（caption 训练）</t>
        </is>
      </c>
      <c r="D11" s="14" t="n">
        <v>867.5700000000001</v>
      </c>
      <c r="E11" s="15" t="inlineStr">
        <is>
          <t>thr</t>
        </is>
      </c>
      <c r="F11" s="15" t="inlineStr">
        <is>
          <t>ssi_disparity</t>
        </is>
      </c>
      <c r="G11" s="15" t="n">
        <v>3</v>
      </c>
      <c r="H11" s="16" t="n">
        <v>0.078</v>
      </c>
      <c r="I11" s="16" t="n">
        <v>0.08690000000000001</v>
      </c>
      <c r="J11" s="15" t="n"/>
      <c r="K11" s="15" t="n"/>
      <c r="L11" s="15" t="inlineStr">
        <is>
          <t>AIRE_RESULTS §3；★ 全项目最好热像成绩</t>
        </is>
      </c>
    </row>
    <row r="12">
      <c r="A12" s="9" t="inlineStr">
        <is>
          <t>b + caption / 真 caption</t>
        </is>
      </c>
      <c r="B12" s="9" t="inlineStr">
        <is>
          <t>Thermal</t>
        </is>
      </c>
      <c r="C12" s="9" t="inlineStr">
        <is>
          <t>U-Net（caption 训练）</t>
        </is>
      </c>
      <c r="D12" s="10" t="n">
        <v>867.5700000000001</v>
      </c>
      <c r="E12" s="11" t="inlineStr">
        <is>
          <t>thr</t>
        </is>
      </c>
      <c r="F12" s="11" t="inlineStr">
        <is>
          <t>ssi_disparity</t>
        </is>
      </c>
      <c r="G12" s="11" t="n">
        <v>3</v>
      </c>
      <c r="H12" s="11" t="n"/>
      <c r="I12" s="12" t="n">
        <v>0.0882</v>
      </c>
      <c r="J12" s="11" t="n"/>
      <c r="K12" s="11" t="n"/>
      <c r="L12" s="11" t="inlineStr">
        <is>
          <t>AIRE_RESULTS §3；= Iris 的 Train&amp;Infer 设置</t>
        </is>
      </c>
    </row>
    <row r="13">
      <c r="A13" s="5" t="inlineStr">
        <is>
          <t>b + sky loss</t>
        </is>
      </c>
      <c r="B13" s="5" t="inlineStr">
        <is>
          <t>Thermal</t>
        </is>
      </c>
      <c r="C13" s="5" t="inlineStr">
        <is>
          <t>U-Net + 天空约束</t>
        </is>
      </c>
      <c r="D13" s="8" t="n">
        <v>867.5700000000001</v>
      </c>
      <c r="E13" s="7" t="inlineStr">
        <is>
          <t>thr</t>
        </is>
      </c>
      <c r="F13" s="7" t="inlineStr">
        <is>
          <t>ssi_disparity</t>
        </is>
      </c>
      <c r="G13" s="7" t="n">
        <v>5</v>
      </c>
      <c r="H13" s="7" t="n"/>
      <c r="I13" s="6" t="n">
        <v>0.0897</v>
      </c>
      <c r="J13" s="8" t="n">
        <v>3.966</v>
      </c>
      <c r="K13" s="6" t="n">
        <v>0.9058</v>
      </c>
      <c r="L13" s="7" t="inlineStr">
        <is>
          <t>本周新增（作业 7032539/7037681），5-epoch 调度</t>
        </is>
      </c>
    </row>
    <row r="14">
      <c r="A14" s="9" t="inlineStr">
        <is>
          <t>c1 VAE-adapter</t>
        </is>
      </c>
      <c r="B14" s="9" t="inlineStr">
        <is>
          <t>Thermal</t>
        </is>
      </c>
      <c r="C14" s="9" t="inlineStr">
        <is>
          <t>仅 Adapter</t>
        </is>
      </c>
      <c r="D14" s="10" t="n">
        <v>7.11</v>
      </c>
      <c r="E14" s="11" t="inlineStr">
        <is>
          <t>thr</t>
        </is>
      </c>
      <c r="F14" s="11" t="inlineStr">
        <is>
          <t>ssi_disparity</t>
        </is>
      </c>
      <c r="G14" s="11" t="n">
        <v>16</v>
      </c>
      <c r="H14" s="12" t="n">
        <v>0.1127</v>
      </c>
      <c r="I14" s="12" t="n">
        <v>0.1217</v>
      </c>
      <c r="J14" s="10" t="n">
        <v>5.465</v>
      </c>
      <c r="K14" s="12" t="n">
        <v>0.8365</v>
      </c>
      <c r="L14" s="11" t="inlineStr">
        <is>
          <t>AIRE_RESULTS §2</t>
        </is>
      </c>
    </row>
    <row r="15">
      <c r="A15" s="9" t="inlineStr">
        <is>
          <t>c2 VAE-adapter→U-Net</t>
        </is>
      </c>
      <c r="B15" s="9" t="inlineStr">
        <is>
          <t>Thermal</t>
        </is>
      </c>
      <c r="C15" s="9" t="inlineStr">
        <is>
          <t>U-Net（Adapter 冻结）</t>
        </is>
      </c>
      <c r="D15" s="10" t="n">
        <v>867.5700000000001</v>
      </c>
      <c r="E15" s="11" t="inlineStr">
        <is>
          <t>thr</t>
        </is>
      </c>
      <c r="F15" s="11" t="inlineStr">
        <is>
          <t>ssi_disparity</t>
        </is>
      </c>
      <c r="G15" s="11" t="n">
        <v>3</v>
      </c>
      <c r="H15" s="12" t="n">
        <v>0.09320000000000001</v>
      </c>
      <c r="I15" s="12" t="n">
        <v>0.1013</v>
      </c>
      <c r="J15" s="10" t="n">
        <v>4.418</v>
      </c>
      <c r="K15" s="12" t="n">
        <v>0.8826000000000001</v>
      </c>
      <c r="L15" s="11" t="inlineStr">
        <is>
          <t>AIRE_RESULTS §2</t>
        </is>
      </c>
    </row>
    <row r="16">
      <c r="A16" s="9" t="inlineStr">
        <is>
          <t>c2 + caption / 空 prompt</t>
        </is>
      </c>
      <c r="B16" s="9" t="inlineStr">
        <is>
          <t>Thermal</t>
        </is>
      </c>
      <c r="C16" s="9" t="inlineStr">
        <is>
          <t>U-Net（caption 训练）</t>
        </is>
      </c>
      <c r="D16" s="10" t="n">
        <v>867.5700000000001</v>
      </c>
      <c r="E16" s="11" t="inlineStr">
        <is>
          <t>thr</t>
        </is>
      </c>
      <c r="F16" s="11" t="inlineStr">
        <is>
          <t>ssi_disparity</t>
        </is>
      </c>
      <c r="G16" s="11" t="n">
        <v>3</v>
      </c>
      <c r="H16" s="12" t="n">
        <v>0.09229999999999999</v>
      </c>
      <c r="I16" s="12" t="n">
        <v>0.103</v>
      </c>
      <c r="J16" s="11" t="n"/>
      <c r="K16" s="11" t="n"/>
      <c r="L16" s="11" t="inlineStr">
        <is>
          <t>AIRE_RESULTS §3</t>
        </is>
      </c>
    </row>
    <row r="17">
      <c r="A17" s="9" t="inlineStr">
        <is>
          <t>c2 + caption / 真 caption</t>
        </is>
      </c>
      <c r="B17" s="9" t="inlineStr">
        <is>
          <t>Thermal</t>
        </is>
      </c>
      <c r="C17" s="9" t="inlineStr">
        <is>
          <t>U-Net（caption 训练）</t>
        </is>
      </c>
      <c r="D17" s="10" t="n">
        <v>867.5700000000001</v>
      </c>
      <c r="E17" s="11" t="inlineStr">
        <is>
          <t>thr</t>
        </is>
      </c>
      <c r="F17" s="11" t="inlineStr">
        <is>
          <t>ssi_disparity</t>
        </is>
      </c>
      <c r="G17" s="11" t="n">
        <v>3</v>
      </c>
      <c r="H17" s="11" t="n"/>
      <c r="I17" s="12" t="n">
        <v>0.1022</v>
      </c>
      <c r="J17" s="11" t="n"/>
      <c r="K17" s="11" t="n"/>
      <c r="L17" s="11" t="inlineStr">
        <is>
          <t>AIRE_RESULTS §3</t>
        </is>
      </c>
    </row>
    <row r="18">
      <c r="A18" s="9" t="inlineStr">
        <is>
          <t>d1 AnyTh-adapter</t>
        </is>
      </c>
      <c r="B18" s="9" t="inlineStr">
        <is>
          <t>Thermal</t>
        </is>
      </c>
      <c r="C18" s="9" t="inlineStr">
        <is>
          <t>仅 Adapter</t>
        </is>
      </c>
      <c r="D18" s="10" t="n">
        <v>9.41</v>
      </c>
      <c r="E18" s="11" t="inlineStr">
        <is>
          <t>thr</t>
        </is>
      </c>
      <c r="F18" s="11" t="inlineStr">
        <is>
          <t>ssi_disparity</t>
        </is>
      </c>
      <c r="G18" s="11" t="n">
        <v>9</v>
      </c>
      <c r="H18" s="12" t="n">
        <v>0.08599999999999999</v>
      </c>
      <c r="I18" s="12" t="n">
        <v>0.0973</v>
      </c>
      <c r="J18" s="10" t="n">
        <v>4.432</v>
      </c>
      <c r="K18" s="12" t="n">
        <v>0.8883</v>
      </c>
      <c r="L18" s="11" t="inlineStr">
        <is>
          <t>AIRE_RESULTS §2</t>
        </is>
      </c>
    </row>
    <row r="19">
      <c r="A19" s="9" t="inlineStr">
        <is>
          <t>d2 AnyTh-adapter+U-Net</t>
        </is>
      </c>
      <c r="B19" s="9" t="inlineStr">
        <is>
          <t>Thermal</t>
        </is>
      </c>
      <c r="C19" s="9" t="inlineStr">
        <is>
          <t>Adapter + U-Net</t>
        </is>
      </c>
      <c r="D19" s="10" t="n">
        <v>876.98</v>
      </c>
      <c r="E19" s="11" t="inlineStr">
        <is>
          <t>thr</t>
        </is>
      </c>
      <c r="F19" s="11" t="inlineStr">
        <is>
          <t>ssi_disparity</t>
        </is>
      </c>
      <c r="G19" s="11" t="n">
        <v>12</v>
      </c>
      <c r="H19" s="12" t="n">
        <v>0.0815</v>
      </c>
      <c r="I19" s="12" t="n">
        <v>0.09030000000000001</v>
      </c>
      <c r="J19" s="10" t="n">
        <v>3.855</v>
      </c>
      <c r="K19" s="12" t="n">
        <v>0.9086</v>
      </c>
      <c r="L19" s="11" t="inlineStr">
        <is>
          <t>AIRE_RESULTS §2；远端最好</t>
        </is>
      </c>
    </row>
    <row r="20">
      <c r="A20" s="9" t="inlineStr">
        <is>
          <t>d2 + caption / 空 prompt</t>
        </is>
      </c>
      <c r="B20" s="9" t="inlineStr">
        <is>
          <t>Thermal</t>
        </is>
      </c>
      <c r="C20" s="9" t="inlineStr">
        <is>
          <t>Adapter+U-Net（caption）</t>
        </is>
      </c>
      <c r="D20" s="10" t="n">
        <v>876.98</v>
      </c>
      <c r="E20" s="11" t="inlineStr">
        <is>
          <t>thr</t>
        </is>
      </c>
      <c r="F20" s="11" t="inlineStr">
        <is>
          <t>ssi_disparity</t>
        </is>
      </c>
      <c r="G20" s="11" t="n">
        <v>3</v>
      </c>
      <c r="H20" s="12" t="n">
        <v>0.0825</v>
      </c>
      <c r="I20" s="12" t="n">
        <v>0.0876</v>
      </c>
      <c r="J20" s="11" t="n"/>
      <c r="K20" s="11" t="n"/>
      <c r="L20" s="11" t="inlineStr">
        <is>
          <t>AIRE_RESULTS §3</t>
        </is>
      </c>
    </row>
    <row r="21">
      <c r="A21" s="9" t="inlineStr">
        <is>
          <t>d2 + caption / 真 caption</t>
        </is>
      </c>
      <c r="B21" s="9" t="inlineStr">
        <is>
          <t>Thermal</t>
        </is>
      </c>
      <c r="C21" s="9" t="inlineStr">
        <is>
          <t>Adapter+U-Net（caption）</t>
        </is>
      </c>
      <c r="D21" s="10" t="n">
        <v>876.98</v>
      </c>
      <c r="E21" s="11" t="inlineStr">
        <is>
          <t>thr</t>
        </is>
      </c>
      <c r="F21" s="11" t="inlineStr">
        <is>
          <t>ssi_disparity</t>
        </is>
      </c>
      <c r="G21" s="11" t="n">
        <v>3</v>
      </c>
      <c r="H21" s="11" t="n"/>
      <c r="I21" s="12" t="n">
        <v>0.0881</v>
      </c>
      <c r="J21" s="11" t="n"/>
      <c r="K21" s="11" t="n"/>
      <c r="L21" s="11" t="inlineStr">
        <is>
          <t>AIRE_RESULTS §3</t>
        </is>
      </c>
    </row>
    <row r="22">
      <c r="A22" s="4" t="inlineStr">
        <is>
          <t>── 外部参照 ──</t>
        </is>
      </c>
    </row>
    <row r="23">
      <c r="A23" s="5" t="inlineStr">
        <is>
          <t>原版 AnyThermal</t>
        </is>
      </c>
      <c r="B23" s="5" t="inlineStr">
        <is>
          <t>Thermal</t>
        </is>
      </c>
      <c r="C23" s="5" t="inlineStr">
        <is>
          <t>冻结骨干 + MiDaS 头</t>
        </is>
      </c>
      <c r="D23" s="7" t="n"/>
      <c r="E23" s="7" t="inlineStr">
        <is>
          <t>thr</t>
        </is>
      </c>
      <c r="F23" s="7" t="inlineStr">
        <is>
          <t>ssi</t>
        </is>
      </c>
      <c r="G23" s="7" t="n"/>
      <c r="H23" s="7" t="n"/>
      <c r="I23" s="6" t="n">
        <v>0.08210000000000001</v>
      </c>
      <c r="J23" s="7" t="n"/>
      <c r="K23" s="7" t="n"/>
      <c r="L23" s="7" t="inlineStr">
        <is>
          <t>任务 4（AIRE_RESULTS §5）；论文 Table IV 报 0.0883</t>
        </is>
      </c>
    </row>
    <row r="25">
      <c r="A25" s="17" t="inlineStr">
        <is>
          <t>训练买来了多少（同视角、同考卷、只差有没有训练）</t>
        </is>
      </c>
    </row>
    <row r="26" ht="32" customHeight="1">
      <c r="A26" s="3" t="inlineStr">
        <is>
          <t>模态</t>
        </is>
      </c>
      <c r="B26" s="3" t="inlineStr">
        <is>
          <t>零训练 AbsRel</t>
        </is>
      </c>
      <c r="C26" s="3" t="inlineStr">
        <is>
          <t>微调后 AbsRel</t>
        </is>
      </c>
      <c r="D26" s="3" t="inlineStr">
        <is>
          <t>绝对改善</t>
        </is>
      </c>
      <c r="E26" s="3" t="inlineStr">
        <is>
          <t>相对改善</t>
        </is>
      </c>
    </row>
    <row r="27">
      <c r="A27" s="9" t="inlineStr">
        <is>
          <t>RGB（vs a 线）</t>
        </is>
      </c>
      <c r="B27" s="9">
        <f>I6</f>
        <v/>
      </c>
      <c r="C27" s="9">
        <f>I7</f>
        <v/>
      </c>
      <c r="D27" s="11">
        <f>B27-C27</f>
        <v/>
      </c>
      <c r="E27" s="18">
        <f>(B27-C27)/B27</f>
        <v/>
      </c>
    </row>
    <row r="28">
      <c r="A28" s="9" t="inlineStr">
        <is>
          <t>热像（vs b 线）</t>
        </is>
      </c>
      <c r="B28" s="9">
        <f>I9</f>
        <v/>
      </c>
      <c r="C28" s="9">
        <f>I10</f>
        <v/>
      </c>
      <c r="D28" s="11">
        <f>B28-C28</f>
        <v/>
      </c>
      <c r="E28" s="18">
        <f>(B28-C28)/B28</f>
        <v/>
      </c>
    </row>
    <row r="30">
      <c r="A30" s="2" t="inlineStr">
        <is>
          <t>↑ 两个模态上微调买来的收益几乎相同。跨行仍不可比（GT 视角不同）。</t>
        </is>
      </c>
    </row>
  </sheetData>
  <mergeCells count="3">
    <mergeCell ref="A8:L8"/>
    <mergeCell ref="A22:L22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3" customWidth="1" min="4" max="4"/>
    <col width="10" customWidth="1" min="5" max="5"/>
    <col width="18" customWidth="1" min="6" max="6"/>
    <col width="13" customWidth="1" min="7" max="7"/>
    <col width="13" customWidth="1" min="8" max="8"/>
  </cols>
  <sheetData>
    <row r="1">
      <c r="A1" s="1" t="inlineStr">
        <is>
          <t>区域分层 AbsRel（test 2,543 帧）</t>
        </is>
      </c>
    </row>
    <row r="2">
      <c r="A2" s="2" t="inlineStr">
        <is>
          <t>⚠️ 前六列 ssi_disparity，最后一列原版 AnyThermal 用 ssi —— 各自的原生输出空间，分层定义共享，可并排读，但不要混算。⚠️ 所有分层只统计有 LiDAR 回波的像素，天空不在内。</t>
        </is>
      </c>
    </row>
    <row r="4" ht="32" customHeight="1">
      <c r="A4" s="3" t="inlineStr">
        <is>
          <t>分层</t>
        </is>
      </c>
      <c r="B4" s="3" t="inlineStr">
        <is>
          <t>b</t>
        </is>
      </c>
      <c r="C4" s="3" t="inlineStr">
        <is>
          <t>b+caption</t>
        </is>
      </c>
      <c r="D4" s="3" t="inlineStr">
        <is>
          <t>b+sky loss</t>
        </is>
      </c>
      <c r="E4" s="3" t="inlineStr">
        <is>
          <t>d1</t>
        </is>
      </c>
      <c r="F4" s="3" t="inlineStr">
        <is>
          <t>c2</t>
        </is>
      </c>
      <c r="G4" s="3" t="inlineStr">
        <is>
          <t>d2</t>
        </is>
      </c>
      <c r="H4" s="3" t="inlineStr">
        <is>
          <t>原版 AnyThermal</t>
        </is>
      </c>
    </row>
    <row r="5">
      <c r="A5" s="9" t="inlineStr">
        <is>
          <t>all（整体）</t>
        </is>
      </c>
      <c r="B5" s="19" t="n">
        <v>0.08840000000000001</v>
      </c>
      <c r="C5" s="19" t="n">
        <v>0.0882</v>
      </c>
      <c r="D5" s="12" t="n">
        <v>0.0897</v>
      </c>
      <c r="E5" s="12" t="n">
        <v>0.0973</v>
      </c>
      <c r="F5" s="12" t="n">
        <v>0.1013</v>
      </c>
      <c r="G5" s="12" t="n">
        <v>0.09030000000000001</v>
      </c>
      <c r="H5" s="12" t="n">
        <v>0.08210000000000001</v>
      </c>
    </row>
    <row r="6">
      <c r="A6" s="9" t="inlineStr">
        <is>
          <t>depth/far &gt;30m</t>
        </is>
      </c>
      <c r="B6" s="19" t="n">
        <v>0.168</v>
      </c>
      <c r="C6" s="19" t="n">
        <v>0.1679</v>
      </c>
      <c r="D6" s="20">
        <f>B6+B19</f>
        <v/>
      </c>
      <c r="E6" s="12" t="n">
        <v>0.1726</v>
      </c>
      <c r="F6" s="12" t="n">
        <v>0.1817</v>
      </c>
      <c r="G6" s="12" t="n">
        <v>0.1524</v>
      </c>
      <c r="H6" s="12" t="n">
        <v>0.093</v>
      </c>
    </row>
    <row r="7">
      <c r="A7" s="9" t="inlineStr">
        <is>
          <t>depth/mid 10–30m</t>
        </is>
      </c>
      <c r="B7" s="9" t="n"/>
      <c r="C7" s="9" t="n"/>
      <c r="D7" s="11" t="n"/>
      <c r="E7" s="11" t="n"/>
      <c r="F7" s="11" t="n"/>
      <c r="G7" s="11" t="n"/>
      <c r="H7" s="11" t="n"/>
    </row>
    <row r="8">
      <c r="A8" s="9" t="inlineStr">
        <is>
          <t>depth/near &lt;10m</t>
        </is>
      </c>
      <c r="B8" s="9" t="n"/>
      <c r="C8" s="9" t="n"/>
      <c r="D8" s="11" t="n"/>
      <c r="E8" s="11" t="n"/>
      <c r="F8" s="11" t="n"/>
      <c r="G8" s="11" t="n"/>
      <c r="H8" s="11" t="n"/>
    </row>
    <row r="9">
      <c r="A9" s="9" t="inlineStr">
        <is>
          <t>row/top（上带有回波像素）</t>
        </is>
      </c>
      <c r="B9" s="19" t="n">
        <v>0.1572</v>
      </c>
      <c r="C9" s="19" t="n">
        <v>0.1598</v>
      </c>
      <c r="D9" s="12" t="n">
        <v>0.1635</v>
      </c>
      <c r="E9" s="12" t="n">
        <v>0.1767</v>
      </c>
      <c r="F9" s="12" t="n">
        <v>0.1858</v>
      </c>
      <c r="G9" s="12" t="n">
        <v>0.1705</v>
      </c>
      <c r="H9" s="12" t="n">
        <v>0.1257</v>
      </c>
    </row>
    <row r="10">
      <c r="A10" s="9" t="inlineStr">
        <is>
          <t>row/middle</t>
        </is>
      </c>
      <c r="B10" s="19" t="n">
        <v>0.0975</v>
      </c>
      <c r="C10" s="9" t="n"/>
      <c r="D10" s="12" t="n">
        <v>0.0983</v>
      </c>
      <c r="E10" s="11" t="n"/>
      <c r="F10" s="11" t="n"/>
      <c r="G10" s="11" t="n"/>
      <c r="H10" s="11" t="n"/>
    </row>
    <row r="11">
      <c r="A11" s="9" t="inlineStr">
        <is>
          <t>row/bottom</t>
        </is>
      </c>
      <c r="B11" s="19" t="n">
        <v>0.0308</v>
      </c>
      <c r="C11" s="9" t="n"/>
      <c r="D11" s="12" t="n">
        <v>0.0322</v>
      </c>
      <c r="E11" s="11" t="n"/>
      <c r="F11" s="11" t="n"/>
      <c r="G11" s="11" t="n"/>
      <c r="H11" s="11" t="n"/>
    </row>
    <row r="12">
      <c r="A12" s="9" t="inlineStr">
        <is>
          <t>structure/boundary</t>
        </is>
      </c>
      <c r="B12" s="19" t="n">
        <v>0.1075</v>
      </c>
      <c r="C12" s="19" t="n">
        <v>0.1089</v>
      </c>
      <c r="D12" s="12" t="n">
        <v>0.1098</v>
      </c>
      <c r="E12" s="12" t="n">
        <v>0.1184</v>
      </c>
      <c r="F12" s="12" t="n">
        <v>0.1242</v>
      </c>
      <c r="G12" s="12" t="n">
        <v>0.1112</v>
      </c>
      <c r="H12" s="12" t="n">
        <v>0.0973</v>
      </c>
    </row>
    <row r="13">
      <c r="A13" s="9" t="inlineStr">
        <is>
          <t>structure/interior</t>
        </is>
      </c>
      <c r="B13" s="19" t="n">
        <v>0.0862</v>
      </c>
      <c r="C13" s="19" t="n">
        <v>0.0857</v>
      </c>
      <c r="D13" s="12" t="n">
        <v>0.0873</v>
      </c>
      <c r="E13" s="12" t="n">
        <v>0.0946</v>
      </c>
      <c r="F13" s="12" t="n">
        <v>0.0989</v>
      </c>
      <c r="G13" s="12" t="n">
        <v>0.0878</v>
      </c>
      <c r="H13" s="12" t="n">
        <v>0.0808</v>
      </c>
    </row>
    <row r="14">
      <c r="A14" s="21" t="inlineStr">
        <is>
          <t>锐利度 b/i（越大越锐）</t>
        </is>
      </c>
      <c r="B14" s="22">
        <f>IF(ISNUMBER(B12),B12/B13,"")</f>
        <v/>
      </c>
      <c r="C14" s="22">
        <f>IF(ISNUMBER(C12),C12/C13,"")</f>
        <v/>
      </c>
      <c r="D14" s="23">
        <f>IF(ISNUMBER(D12),D12/D13,"")</f>
        <v/>
      </c>
      <c r="E14" s="23">
        <f>IF(ISNUMBER(E12),E12/E13,"")</f>
        <v/>
      </c>
      <c r="F14" s="23">
        <f>IF(ISNUMBER(F12),F12/F13,"")</f>
        <v/>
      </c>
      <c r="G14" s="23">
        <f>IF(ISNUMBER(G12),G12/G13,"")</f>
        <v/>
      </c>
      <c r="H14" s="23">
        <f>IF(ISNUMBER(H12),H12/H13,"")</f>
        <v/>
      </c>
    </row>
    <row r="15">
      <c r="A15" s="21" t="inlineStr">
        <is>
          <t>远端退化 far/all（越小越好）</t>
        </is>
      </c>
      <c r="B15" s="24">
        <f>IF(ISNUMBER(B6),B6/B5,"")</f>
        <v/>
      </c>
      <c r="C15" s="24">
        <f>IF(ISNUMBER(C6),C6/C5,"")</f>
        <v/>
      </c>
      <c r="D15" s="25">
        <f>IF(ISNUMBER(D6),D6/D5,"")</f>
        <v/>
      </c>
      <c r="E15" s="25">
        <f>IF(ISNUMBER(E6),E6/E5,"")</f>
        <v/>
      </c>
      <c r="F15" s="25">
        <f>IF(ISNUMBER(F6),F6/F5,"")</f>
        <v/>
      </c>
      <c r="G15" s="25">
        <f>IF(ISNUMBER(G6),G6/G5,"")</f>
        <v/>
      </c>
      <c r="H15" s="25">
        <f>IF(ISNUMBER(H6),H6/H5,"")</f>
        <v/>
      </c>
    </row>
    <row r="17">
      <c r="A17" s="17" t="inlineStr">
        <is>
          <t>b + sky loss vs b：逐帧配对差（负 = sky loss 更好）</t>
        </is>
      </c>
    </row>
    <row r="18" ht="32" customHeight="1">
      <c r="A18" s="3" t="inlineStr">
        <is>
          <t>分层</t>
        </is>
      </c>
      <c r="B18" s="3" t="inlineStr">
        <is>
          <t>配对差 AbsRel</t>
        </is>
      </c>
      <c r="C18" s="3" t="inlineStr">
        <is>
          <t>95% CI 下限</t>
        </is>
      </c>
      <c r="D18" s="3" t="inlineStr">
        <is>
          <t>95% CI 上限</t>
        </is>
      </c>
      <c r="E18" s="3" t="inlineStr">
        <is>
          <t>显著</t>
        </is>
      </c>
      <c r="F18" s="3" t="inlineStr">
        <is>
          <t>sky loss 更好的帧</t>
        </is>
      </c>
    </row>
    <row r="19">
      <c r="A19" s="13" t="inlineStr">
        <is>
          <t>depth/far &gt;30m</t>
        </is>
      </c>
      <c r="B19" s="26" t="n">
        <v>-0.00533</v>
      </c>
      <c r="C19" s="26" t="n">
        <v>-0.00649</v>
      </c>
      <c r="D19" s="27" t="n">
        <v>-0.00417</v>
      </c>
      <c r="E19" s="15" t="inlineStr">
        <is>
          <t>是</t>
        </is>
      </c>
      <c r="F19" s="28" t="n">
        <v>0.535</v>
      </c>
    </row>
    <row r="20">
      <c r="A20" s="9" t="inlineStr">
        <is>
          <t>row/middle</t>
        </is>
      </c>
      <c r="B20" s="29" t="n">
        <v>0.00074</v>
      </c>
      <c r="C20" s="29" t="n">
        <v>0.00039</v>
      </c>
      <c r="D20" s="30" t="n">
        <v>0.00108</v>
      </c>
      <c r="E20" s="11" t="inlineStr">
        <is>
          <t>是</t>
        </is>
      </c>
      <c r="F20" s="18" t="n">
        <v>0.439</v>
      </c>
    </row>
    <row r="21">
      <c r="A21" s="9" t="inlineStr">
        <is>
          <t>depth/near &lt;10m</t>
        </is>
      </c>
      <c r="B21" s="29" t="n">
        <v>0.0008</v>
      </c>
      <c r="C21" s="29" t="n">
        <v>0.00051</v>
      </c>
      <c r="D21" s="30" t="n">
        <v>0.00108</v>
      </c>
      <c r="E21" s="11" t="inlineStr">
        <is>
          <t>是</t>
        </is>
      </c>
      <c r="F21" s="18" t="n">
        <v>0.41</v>
      </c>
    </row>
    <row r="22">
      <c r="A22" s="9" t="inlineStr">
        <is>
          <t>structure/interior</t>
        </is>
      </c>
      <c r="B22" s="29" t="n">
        <v>0.00105</v>
      </c>
      <c r="C22" s="29" t="n">
        <v>0.00073</v>
      </c>
      <c r="D22" s="30" t="n">
        <v>0.00137</v>
      </c>
      <c r="E22" s="11" t="inlineStr">
        <is>
          <t>是</t>
        </is>
      </c>
      <c r="F22" s="18" t="n">
        <v>0.411</v>
      </c>
    </row>
    <row r="23">
      <c r="A23" s="9" t="inlineStr">
        <is>
          <t>all（整体）</t>
        </is>
      </c>
      <c r="B23" s="29" t="n">
        <v>0.00128</v>
      </c>
      <c r="C23" s="29" t="n">
        <v>0.0009700000000000001</v>
      </c>
      <c r="D23" s="30" t="n">
        <v>0.0016</v>
      </c>
      <c r="E23" s="11" t="inlineStr">
        <is>
          <t>是</t>
        </is>
      </c>
      <c r="F23" s="18" t="n">
        <v>0.399</v>
      </c>
    </row>
    <row r="24">
      <c r="A24" s="9" t="inlineStr">
        <is>
          <t>row/bottom</t>
        </is>
      </c>
      <c r="B24" s="29" t="n">
        <v>0.00137</v>
      </c>
      <c r="C24" s="29" t="n">
        <v>0.00117</v>
      </c>
      <c r="D24" s="30" t="n">
        <v>0.00155</v>
      </c>
      <c r="E24" s="11" t="inlineStr">
        <is>
          <t>是</t>
        </is>
      </c>
      <c r="F24" s="18" t="n">
        <v>0.352</v>
      </c>
    </row>
    <row r="25">
      <c r="A25" s="9" t="inlineStr">
        <is>
          <t>depth/mid 10–30m</t>
        </is>
      </c>
      <c r="B25" s="29" t="n">
        <v>0.00198</v>
      </c>
      <c r="C25" s="29" t="n">
        <v>0.00164</v>
      </c>
      <c r="D25" s="30" t="n">
        <v>0.00232</v>
      </c>
      <c r="E25" s="11" t="inlineStr">
        <is>
          <t>是</t>
        </is>
      </c>
      <c r="F25" s="18" t="n">
        <v>0.374</v>
      </c>
    </row>
    <row r="26">
      <c r="A26" s="9" t="inlineStr">
        <is>
          <t>structure/boundary</t>
        </is>
      </c>
      <c r="B26" s="29" t="n">
        <v>0.0023</v>
      </c>
      <c r="C26" s="29" t="n">
        <v>0.00187</v>
      </c>
      <c r="D26" s="30" t="n">
        <v>0.00273</v>
      </c>
      <c r="E26" s="11" t="inlineStr">
        <is>
          <t>是</t>
        </is>
      </c>
      <c r="F26" s="18" t="n">
        <v>0.389</v>
      </c>
    </row>
    <row r="27">
      <c r="A27" s="9" t="inlineStr">
        <is>
          <t>row/top</t>
        </is>
      </c>
      <c r="B27" s="29" t="n">
        <v>0.00629</v>
      </c>
      <c r="C27" s="29" t="n">
        <v>0.00518</v>
      </c>
      <c r="D27" s="30" t="n">
        <v>0.00738</v>
      </c>
      <c r="E27" s="11" t="inlineStr">
        <is>
          <t>是</t>
        </is>
      </c>
      <c r="F27" s="18" t="n">
        <v>0.448</v>
      </c>
    </row>
    <row r="29">
      <c r="A29" s="2" t="inlineStr">
        <is>
          <t>↑ 唯一变好的是远端（−0.00533），代价最集中在 row/top（+0.00629，相对 +4.0%，是整体 +1.4% 的三倍）。机制一致：损失把上带整体推远 —— 真正远的像素受益，上带里的近处结构受损。来源：作业 7037707。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2" customWidth="1" min="4" max="4"/>
    <col width="16" customWidth="1" min="5" max="5"/>
    <col width="11" customWidth="1" min="6" max="6"/>
    <col width="11" customWidth="1" min="7" max="7"/>
    <col width="14" customWidth="1" min="8" max="8"/>
    <col width="40" customWidth="1" min="9" max="9"/>
  </cols>
  <sheetData>
    <row r="1">
      <c r="A1" s="1" t="inlineStr">
        <is>
          <t>上带判据（最上 32 行预测深度中位，test 2,543 帧，不带 valid 掩码）</t>
        </is>
      </c>
    </row>
    <row r="2">
      <c r="A2" s="2" t="inlineStr">
        <is>
          <t>天空无 LiDAR 回波，AbsRel/RMSE/所有分层在那里都是零样本 —— 这是唯一能看见天空的数。数字大 = 判得远（正确），小 = 判得近。工具：tools/analyze_sky_band.py（作业记录见 sky_band_4way）。</t>
        </is>
      </c>
    </row>
    <row r="4" ht="32" customHeight="1">
      <c r="A4" s="3" t="inlineStr">
        <is>
          <t>模型</t>
        </is>
      </c>
      <c r="B4" s="3" t="inlineStr">
        <is>
          <t>上带中位 (m)</t>
        </is>
      </c>
      <c r="C4" s="3" t="inlineStr">
        <is>
          <t>上带 p90 (m)</t>
        </is>
      </c>
      <c r="D4" s="3" t="inlineStr">
        <is>
          <t>&lt;10 m 占比</t>
        </is>
      </c>
      <c r="E4" s="3" t="inlineStr">
        <is>
          <t>vs 零训练 差值 (m)</t>
        </is>
      </c>
      <c r="F4" s="3" t="inlineStr">
        <is>
          <t>CI 下限</t>
        </is>
      </c>
      <c r="G4" s="3" t="inlineStr">
        <is>
          <t>CI 上限</t>
        </is>
      </c>
      <c r="H4" s="3" t="inlineStr">
        <is>
          <t>判得更远的帧</t>
        </is>
      </c>
      <c r="I4" s="3" t="inlineStr">
        <is>
          <t>说明</t>
        </is>
      </c>
    </row>
    <row r="5">
      <c r="A5" s="9" t="inlineStr">
        <is>
          <t>零训练（全程冻结）</t>
        </is>
      </c>
      <c r="B5" s="31" t="n">
        <v>24.71</v>
      </c>
      <c r="C5" s="31" t="n">
        <v>39.61</v>
      </c>
      <c r="D5" s="18" t="n">
        <v>0.114</v>
      </c>
      <c r="E5" s="11" t="n"/>
      <c r="F5" s="11" t="n"/>
      <c r="G5" s="11" t="n"/>
      <c r="H5" s="18" t="n"/>
      <c r="I5" s="11" t="inlineStr">
        <is>
          <t>参照系：没训练时天空是对的</t>
        </is>
      </c>
    </row>
    <row r="6">
      <c r="A6" s="9" t="inlineStr">
        <is>
          <t>b 线（训 U-Net）</t>
        </is>
      </c>
      <c r="B6" s="31" t="n">
        <v>9.6</v>
      </c>
      <c r="C6" s="31" t="n">
        <v>14.87</v>
      </c>
      <c r="D6" s="18" t="n">
        <v>0.517</v>
      </c>
      <c r="E6" s="12" t="n">
        <v>-19.02</v>
      </c>
      <c r="F6" s="12" t="n">
        <v>-19.51</v>
      </c>
      <c r="G6" s="12" t="n">
        <v>-18.52</v>
      </c>
      <c r="H6" s="18" t="n">
        <v>0.007</v>
      </c>
      <c r="I6" s="11" t="inlineStr">
        <is>
          <t>训练把天空拉近了 19 m，99.3% 的帧变近</t>
        </is>
      </c>
    </row>
    <row r="7">
      <c r="A7" s="9" t="inlineStr">
        <is>
          <t>b + 删上带标签</t>
        </is>
      </c>
      <c r="B7" s="31" t="n">
        <v>4.28</v>
      </c>
      <c r="C7" s="31" t="n">
        <v>8.880000000000001</v>
      </c>
      <c r="D7" s="18" t="n">
        <v>0.868</v>
      </c>
      <c r="E7" s="12" t="n">
        <v>-23.82</v>
      </c>
      <c r="F7" s="12" t="n">
        <v>-24.3</v>
      </c>
      <c r="G7" s="12" t="n">
        <v>-23.31</v>
      </c>
      <c r="H7" s="18" t="n">
        <v>0.002</v>
      </c>
      <c r="I7" s="11" t="inlineStr">
        <is>
          <t>删掉那 0.90% 的标签反而更糟 → 缺的是约束</t>
        </is>
      </c>
    </row>
    <row r="8">
      <c r="A8" s="5" t="inlineStr">
        <is>
          <t>b + sky loss</t>
        </is>
      </c>
      <c r="B8" s="32" t="n">
        <v>17.72</v>
      </c>
      <c r="C8" s="32" t="n">
        <v>63.24</v>
      </c>
      <c r="D8" s="33" t="n">
        <v>0.181</v>
      </c>
      <c r="E8" s="8" t="n">
        <v>2.33</v>
      </c>
      <c r="F8" s="8" t="n">
        <v>1.69</v>
      </c>
      <c r="G8" s="8" t="n">
        <v>2.96</v>
      </c>
      <c r="H8" s="33" t="n">
        <v>0.323</v>
      </c>
      <c r="I8" s="7" t="inlineStr">
        <is>
          <t>本周新增；p90 说明约三成的帧被推到上限附近</t>
        </is>
      </c>
    </row>
    <row r="9">
      <c r="A9" s="9" t="inlineStr">
        <is>
          <t>真值（仅有回波像素）</t>
        </is>
      </c>
      <c r="B9" s="31" t="n">
        <v>9.720000000000001</v>
      </c>
      <c r="C9" s="9" t="n"/>
      <c r="D9" s="18" t="n"/>
      <c r="E9" s="11" t="n"/>
      <c r="F9" s="11" t="n"/>
      <c r="G9" s="11" t="n"/>
      <c r="H9" s="18" t="n"/>
      <c r="I9" s="11" t="inlineStr">
        <is>
          <t>该带覆盖率仅 2.37%，且都是结构不是天空</t>
        </is>
      </c>
    </row>
    <row r="11">
      <c r="A11" s="17" t="inlineStr">
        <is>
          <t>sky loss 追回了多少</t>
        </is>
      </c>
    </row>
    <row r="12" ht="32" customHeight="1">
      <c r="A12" s="3" t="inlineStr">
        <is>
          <t>指标</t>
        </is>
      </c>
      <c r="B12" s="3" t="inlineStr">
        <is>
          <t>训练造成的漂移</t>
        </is>
      </c>
      <c r="C12" s="3" t="inlineStr">
        <is>
          <t>sky loss 追回</t>
        </is>
      </c>
      <c r="D12" s="3" t="inlineStr">
        <is>
          <t>追回比例</t>
        </is>
      </c>
    </row>
    <row r="13">
      <c r="A13" s="9" t="inlineStr">
        <is>
          <t>上带中位 (m)</t>
        </is>
      </c>
      <c r="B13" s="9">
        <f>B5-B6</f>
        <v/>
      </c>
      <c r="C13" s="9">
        <f>B8-B6</f>
        <v/>
      </c>
      <c r="D13" s="18">
        <f>C13/B13</f>
        <v/>
      </c>
    </row>
    <row r="14">
      <c r="A14" s="9" t="inlineStr">
        <is>
          <t>&lt;10 m 占比</t>
        </is>
      </c>
      <c r="B14" s="34">
        <f>D6-D5</f>
        <v/>
      </c>
      <c r="C14" s="34">
        <f>D6-D8</f>
        <v/>
      </c>
      <c r="D14" s="18">
        <f>C14/B14</f>
        <v/>
      </c>
    </row>
    <row r="16">
      <c r="A16" s="2" t="inlineStr">
        <is>
          <t>⚠️ 局限：① b 线是 20-epoch 余弦的第 5 轮，sky loss 是 5-epoch 跑完，调度不同；② 单 seed；③ 上带中位分不出「天空判对」与「近物判错」，只能同帧跨模型比较。定性图见 docs/figures/ 与 runs/vis/sky_fix/。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>
      <c r="B1" s="1" t="inlineStr">
        <is>
          <t>读这份表之前必须知道的六条</t>
        </is>
      </c>
    </row>
    <row r="3">
      <c r="B3" s="17" t="inlineStr">
        <is>
          <t>考卷</t>
        </is>
      </c>
    </row>
    <row r="4" ht="42" customHeight="1">
      <c r="B4" s="35" t="inlineStr">
        <is>
          <t>所有 test 数字都在 16-08-46（2,543 帧，白天，官方 val split）。该序列训练与调参从未接触，定稿时只评一次。val 是 11-23-45（5,810 帧），被用来挑 epoch，因此带选择偏倚，对外只报 test。</t>
        </is>
      </c>
    </row>
    <row r="6">
      <c r="B6" s="17" t="inlineStr">
        <is>
          <t>命名是反的</t>
        </is>
      </c>
    </row>
    <row r="7" ht="42" customHeight="1">
      <c r="B7" s="35" t="inlineStr">
        <is>
          <t>我们的 val 是 MS2 官方的 test_day split，我们的 test 是官方的 val split。按官方命名理解会以为我们在 test 上调参，实际相反。</t>
        </is>
      </c>
    </row>
    <row r="9">
      <c r="B9" s="17" t="inlineStr">
        <is>
          <t>GT 视角</t>
        </is>
      </c>
    </row>
    <row r="10" ht="42" customHeight="1">
      <c r="B10" s="35" t="inlineStr">
        <is>
          <t>MS2 每帧有两份真值。modality=rgb 取 rgb_depth_path，其余取 thermal_depth_path。a 线与零训练(RGB)是 rgb 视角，其余是 thr 视角 —— 跨视角比大小无效，只能作量级参照。</t>
        </is>
      </c>
    </row>
    <row r="12">
      <c r="B12" s="17" t="inlineStr">
        <is>
          <t>对齐空间</t>
        </is>
      </c>
    </row>
    <row r="13" ht="42" customHeight="1">
      <c r="B13" s="35" t="inlineStr">
        <is>
          <t>route suite 一律 ssi_disparity，原版 AnyThermal 用 ssi。这不是口径不统一，而是各自的原生输出空间；强行互换会得到 0.37 / 0.2724 这种数倍大的数。</t>
        </is>
      </c>
    </row>
    <row r="15">
      <c r="B15" s="17" t="inlineStr">
        <is>
          <t>单 seed</t>
        </is>
      </c>
    </row>
    <row r="16" ht="42" customHeight="1">
      <c r="B16" s="35" t="inlineStr">
        <is>
          <t>所有 caption 的权重效应、以及本周的 sky loss，都只有一次训练。注入效应（同一份权重只换 prompt）不受此限，是无懈可击的。</t>
        </is>
      </c>
    </row>
    <row r="18">
      <c r="B18" s="17" t="inlineStr">
        <is>
          <t>天空看不见</t>
        </is>
      </c>
    </row>
    <row r="19" ht="42" customHeight="1">
      <c r="B19" s="35" t="inlineStr">
        <is>
          <t>GT 覆盖率 26.5%，上三分之一 12.7%，天空恒为零。所以 AbsRel/RMSE/所有分层都测不到天空 —— 天空的好坏只能看「天空判据」那一页。</t>
        </is>
      </c>
    </row>
    <row r="21">
      <c r="B21" s="17" t="inlineStr">
        <is>
          <t>数据来源</t>
        </is>
      </c>
    </row>
    <row r="22">
      <c r="B22" s="36" t="inlineStr">
        <is>
          <t>· docs/AIRE_RESULTS_20260802.md §2 §3 §4 §5（六线主表、caption 双效应、分层、AnyThermal）</t>
        </is>
      </c>
    </row>
    <row r="23">
      <c r="B23" s="36" t="inlineStr">
        <is>
          <t>· docs/WEEK3_LOCAL_FINDINGS_20260805.md（天空诊断、GT 覆盖率）</t>
        </is>
      </c>
    </row>
    <row r="24">
      <c r="B24" s="36" t="inlineStr">
        <is>
          <t>· 本周集群作业：7015060 (RGB 零训练)、7015956 (热像零训练)、7032539+7037681 (sky loss)、7037707 (分层)、sky_band_4way (天空判据)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2026-08-07T09:47:32Z</dcterms:created>
  <dcterms:modified xmlns:dcterms="http://purl.org/dc/terms/" xmlns:xsi="http://www.w3.org/2001/XMLSchema-instance" xsi:type="dcterms:W3CDTF">2026-08-07T09:47:32Z</dcterms:modified>
</cp:coreProperties>
</file>